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79eb038d0b2776da/Documents/"/>
    </mc:Choice>
  </mc:AlternateContent>
  <xr:revisionPtr revIDLastSave="0" documentId="8_{D625F69A-9217-4CFE-A0B6-DF635611175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N59" i="2" l="1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58" i="2"/>
  <c r="H6" i="2"/>
  <c r="H5" i="2"/>
  <c r="G2" i="2"/>
  <c r="E59" i="2" a="1"/>
  <c r="E59" i="2" s="1"/>
  <c r="E58" i="2"/>
  <c r="D36" i="2"/>
  <c r="B3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<sst xmlns="http://schemas.openxmlformats.org/spreadsheetml/2006/main" count="274" uniqueCount="127">
  <si>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</si>
  <si>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</si>
  <si>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</si>
  <si>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</si>
  <si>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</si>
  <si>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</si>
  <si>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</si>
  <si>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</si>
  <si>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</si>
  <si>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</si>
  <si>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</si>
  <si>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</si>
  <si>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</si>
  <si>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</si>
  <si>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</si>
  <si>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</si>
  <si>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</si>
  <si>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</si>
  <si>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</si>
  <si>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</si>
  <si>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</si>
  <si>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</si>
  <si>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</si>
  <si>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</si>
  <si>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</si>
  <si>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</si>
  <si>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</si>
  <si>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</si>
  <si>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</si>
  <si>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</si>
  <si>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</si>
  <si>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</si>
  <si>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</si>
  <si>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</si>
  <si>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</si>
  <si>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</si>
  <si>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</si>
  <si>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</si>
  <si>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</si>
  <si>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</si>
  <si>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</si>
  <si>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</si>
  <si>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</si>
  <si>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</si>
  <si>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</si>
  <si>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</si>
  <si>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</si>
  <si>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</si>
  <si>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</si>
  <si>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</si>
  <si>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</si>
  <si>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</si>
  <si>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</si>
  <si>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</si>
  <si>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</si>
  <si>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</si>
  <si>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</si>
  <si>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</si>
  <si>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</si>
  <si>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</si>
  <si>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</si>
  <si>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</si>
  <si>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</si>
  <si>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</si>
  <si>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</si>
  <si>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</si>
  <si>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</si>
  <si>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</si>
  <si>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</si>
  <si>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</si>
  <si>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</si>
  <si>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</si>
  <si>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</si>
  <si>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</si>
  <si>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</si>
  <si>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</si>
  <si>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</si>
  <si>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</si>
  <si>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</si>
  <si>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</si>
  <si>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</si>
  <si>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</si>
  <si>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</si>
  <si>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</si>
  <si>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</si>
  <si>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</si>
  <si>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</si>
  <si>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</si>
  <si>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</si>
  <si>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</si>
  <si>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</si>
  <si>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</si>
  <si>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</si>
  <si>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</si>
  <si>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</si>
  <si>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</si>
  <si>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</si>
  <si>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</si>
  <si>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</si>
  <si>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</si>
  <si>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</si>
  <si>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</si>
  <si>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</si>
  <si>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</si>
  <si>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</si>
  <si>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</si>
  <si>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</si>
  <si>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</si>
  <si>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</si>
  <si>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</si>
  <si>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SUM=10100</t>
  </si>
  <si>
    <t>COUNT=0</t>
  </si>
  <si>
    <t>AVERAGE= 297.0588</t>
  </si>
  <si>
    <t>MIN=30</t>
  </si>
  <si>
    <t>MAX=1000</t>
  </si>
  <si>
    <t>TOTAL PRICE OF PRODUCTS IN ELECTRONICS CATEGOTY =</t>
  </si>
  <si>
    <t>(SUMIF)</t>
  </si>
  <si>
    <t>(COUNT IF)</t>
  </si>
  <si>
    <t>COUNT OF PRODUCTS PRICE &lt;100=</t>
  </si>
  <si>
    <t>Day</t>
  </si>
  <si>
    <t>Country code</t>
  </si>
  <si>
    <t>LEFT</t>
  </si>
  <si>
    <t>RIGHT</t>
  </si>
  <si>
    <t>FUNCTION</t>
  </si>
  <si>
    <t>MID</t>
  </si>
  <si>
    <t>Month</t>
  </si>
  <si>
    <t>Price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</si>
</sst>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opLeftCell="A3" workbookViewId="0">
      <selection activeCell="J13" sqref="J13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1000"/>
  <sheetViews>
    <sheetView tabSelected="1" workbookViewId="0">
      <selection activeCell="E55" sqref="E55"/>
    </sheetView>
  </sheetViews>
  <sheetFormatPr defaultColWidth="12.6640625" defaultRowHeight="15" customHeight="1" x14ac:dyDescent="0.25"/>
  <cols>
    <col min="1" max="1" width="20.44140625" customWidth="1"/>
    <col min="2" max="2" width="14.109375" customWidth="1"/>
    <col min="3" max="4" width="12.6640625" customWidth="1"/>
    <col min="5" max="5" width="30.109375" customWidth="1"/>
    <col min="6" max="6" width="12.6640625" customWidth="1"/>
  </cols>
  <sheetData>
    <row r="1" spans="1:8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8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>
        <f>SUMIF(F2:F35,"ELECTRONICS",D2:D35)</f>
        <v>8050</v>
      </c>
    </row>
    <row r="3" spans="1:8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8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8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  <c r="H5">
        <f>COUNTIF(B2:B35,"&lt;100")</f>
        <v>0</v>
      </c>
    </row>
    <row r="6" spans="1:8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  <c r="H6">
        <f>COUNTIF(E2:E35,"&lt;100")</f>
        <v>34</v>
      </c>
    </row>
    <row r="7" spans="1:8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8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8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8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8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8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8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8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8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8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5">
      <c r="D36">
        <f>MAX(D2:D35)</f>
        <v>1000</v>
      </c>
    </row>
    <row r="37" spans="1:7" ht="15.75" customHeight="1" x14ac:dyDescent="0.25"/>
    <row r="38" spans="1:7" ht="15.75" customHeight="1" x14ac:dyDescent="0.25">
      <c r="B38">
        <f>COUNT(B2:B35)</f>
        <v>0</v>
      </c>
    </row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>
      <c r="A46" t="s">
        <v>110</v>
      </c>
      <c r="B46" t="s">
        <v>116</v>
      </c>
      <c r="C46" t="s">
        <v>115</v>
      </c>
      <c r="F46">
        <v>8050</v>
      </c>
    </row>
    <row r="47" spans="1:7" ht="15.75" customHeight="1" x14ac:dyDescent="0.25"/>
    <row r="48" spans="1:7" ht="15.75" customHeight="1" x14ac:dyDescent="0.25">
      <c r="A48" t="s">
        <v>111</v>
      </c>
      <c r="B48" t="s">
        <v>117</v>
      </c>
      <c r="C48" t="s">
        <v>118</v>
      </c>
      <c r="F48">
        <v>34</v>
      </c>
    </row>
    <row r="49" spans="1:14" ht="15.75" customHeight="1" x14ac:dyDescent="0.25"/>
    <row r="50" spans="1:14" ht="15.75" customHeight="1" x14ac:dyDescent="0.25">
      <c r="A50" t="s">
        <v>112</v>
      </c>
    </row>
    <row r="51" spans="1:14" ht="15.75" customHeight="1" x14ac:dyDescent="0.25"/>
    <row r="52" spans="1:14" ht="15.75" customHeight="1" x14ac:dyDescent="0.25">
      <c r="A52" t="s">
        <v>113</v>
      </c>
    </row>
    <row r="53" spans="1:14" ht="15.75" customHeight="1" x14ac:dyDescent="0.25"/>
    <row r="54" spans="1:14" ht="15.75" customHeight="1" x14ac:dyDescent="0.25">
      <c r="A54" t="s">
        <v>114</v>
      </c>
    </row>
    <row r="55" spans="1:14" ht="15.75" customHeight="1" x14ac:dyDescent="0.25">
      <c r="G55" t="s">
        <v>121</v>
      </c>
      <c r="H55" t="s">
        <v>123</v>
      </c>
      <c r="J55" t="s">
        <v>122</v>
      </c>
      <c r="K55" t="s">
        <v>123</v>
      </c>
      <c r="M55" t="s">
        <v>124</v>
      </c>
      <c r="N55" t="s">
        <v>123</v>
      </c>
    </row>
    <row r="56" spans="1:14" ht="15.75" customHeight="1" x14ac:dyDescent="0.25"/>
    <row r="57" spans="1:14" ht="15.75" customHeight="1" x14ac:dyDescent="0.25">
      <c r="C57" s="5" t="s">
        <v>18</v>
      </c>
      <c r="D57" s="5" t="s">
        <v>20</v>
      </c>
      <c r="E57" s="5" t="s">
        <v>126</v>
      </c>
      <c r="G57" s="5" t="s">
        <v>17</v>
      </c>
      <c r="H57" s="5" t="s">
        <v>119</v>
      </c>
      <c r="J57" s="5" t="s">
        <v>17</v>
      </c>
      <c r="K57" s="5" t="s">
        <v>120</v>
      </c>
      <c r="M57" s="5" t="s">
        <v>17</v>
      </c>
      <c r="N57" s="5" t="s">
        <v>125</v>
      </c>
    </row>
    <row r="58" spans="1:14" ht="15.75" customHeight="1" x14ac:dyDescent="0.25">
      <c r="C58" s="7" t="s">
        <v>24</v>
      </c>
      <c r="D58" s="7">
        <v>1000</v>
      </c>
      <c r="E58" t="str">
        <f>IF(Dataset!D58&gt;=500,"HIGH PRICE","STANDARD PRICE")</f>
        <v>HIGH PRICE</v>
      </c>
      <c r="G58" s="7" t="s">
        <v>23</v>
      </c>
      <c r="H58" t="str">
        <f>LEFT(G58,2)</f>
        <v>28</v>
      </c>
      <c r="J58" s="7" t="s">
        <v>23</v>
      </c>
      <c r="K58" t="str">
        <f>RIGHT(J58,2)</f>
        <v>US</v>
      </c>
      <c r="M58" s="7" t="s">
        <v>23</v>
      </c>
      <c r="N58" t="str">
        <f>MID(M58,4,3)</f>
        <v>JAN</v>
      </c>
    </row>
    <row r="59" spans="1:14" ht="15.75" customHeight="1" x14ac:dyDescent="0.25">
      <c r="C59" s="8" t="s">
        <v>28</v>
      </c>
      <c r="D59" s="8">
        <v>80</v>
      </c>
      <c r="E59" t="str" cm="1">
        <f t="array" ref="E59:E91">IF(D59:D91&gt;=500,"HIGH PRICE","STANDARDPRICE")</f>
        <v>STANDARDPRICE</v>
      </c>
      <c r="G59" s="8" t="s">
        <v>27</v>
      </c>
      <c r="H59" t="str">
        <f t="shared" ref="H59:H76" si="0">LEFT(G59,2)</f>
        <v>15</v>
      </c>
      <c r="J59" s="8" t="s">
        <v>27</v>
      </c>
      <c r="K59" t="str">
        <f t="shared" ref="K59:K76" si="1">RIGHT(J59,2)</f>
        <v>US</v>
      </c>
      <c r="M59" s="8" t="s">
        <v>27</v>
      </c>
      <c r="N59" t="str">
        <f t="shared" ref="N59:N76" si="2">MID(M59,4,3)</f>
        <v>FEB</v>
      </c>
    </row>
    <row r="60" spans="1:14" ht="15.75" customHeight="1" x14ac:dyDescent="0.25">
      <c r="C60" s="7" t="s">
        <v>32</v>
      </c>
      <c r="D60" s="7">
        <v>130</v>
      </c>
      <c r="E60" t="str">
        <v>STANDARDPRICE</v>
      </c>
      <c r="G60" s="7" t="s">
        <v>31</v>
      </c>
      <c r="H60" t="str">
        <f t="shared" si="0"/>
        <v>03</v>
      </c>
      <c r="J60" s="7" t="s">
        <v>31</v>
      </c>
      <c r="K60" t="str">
        <f t="shared" si="1"/>
        <v>US</v>
      </c>
      <c r="M60" s="7" t="s">
        <v>31</v>
      </c>
      <c r="N60" t="str">
        <f t="shared" si="2"/>
        <v>MAR</v>
      </c>
    </row>
    <row r="61" spans="1:14" ht="15.75" customHeight="1" x14ac:dyDescent="0.25">
      <c r="C61" s="8" t="s">
        <v>36</v>
      </c>
      <c r="D61" s="8">
        <v>900</v>
      </c>
      <c r="E61" t="str">
        <v>HIGH PRICE</v>
      </c>
      <c r="G61" s="8" t="s">
        <v>35</v>
      </c>
      <c r="H61" t="str">
        <f t="shared" si="0"/>
        <v>11</v>
      </c>
      <c r="J61" s="8" t="s">
        <v>35</v>
      </c>
      <c r="K61" t="str">
        <f t="shared" si="1"/>
        <v>US</v>
      </c>
      <c r="M61" s="8" t="s">
        <v>35</v>
      </c>
      <c r="N61" t="str">
        <f t="shared" si="2"/>
        <v>APR</v>
      </c>
    </row>
    <row r="62" spans="1:14" ht="15.75" customHeight="1" x14ac:dyDescent="0.25">
      <c r="C62" s="7" t="s">
        <v>39</v>
      </c>
      <c r="D62" s="7">
        <v>70</v>
      </c>
      <c r="E62" t="str">
        <v>STANDARDPRICE</v>
      </c>
      <c r="G62" s="7" t="s">
        <v>38</v>
      </c>
      <c r="H62" t="str">
        <f t="shared" si="0"/>
        <v>22</v>
      </c>
      <c r="J62" s="7" t="s">
        <v>38</v>
      </c>
      <c r="K62" t="str">
        <f t="shared" si="1"/>
        <v>US</v>
      </c>
      <c r="M62" s="7" t="s">
        <v>38</v>
      </c>
      <c r="N62" t="str">
        <f t="shared" si="2"/>
        <v>MAY</v>
      </c>
    </row>
    <row r="63" spans="1:14" ht="15.75" customHeight="1" x14ac:dyDescent="0.25">
      <c r="C63" s="8" t="s">
        <v>43</v>
      </c>
      <c r="D63" s="8">
        <v>200</v>
      </c>
      <c r="E63" t="str">
        <v>STANDARDPRICE</v>
      </c>
      <c r="G63" s="8" t="s">
        <v>42</v>
      </c>
      <c r="H63" t="str">
        <f t="shared" si="0"/>
        <v>07</v>
      </c>
      <c r="J63" s="8" t="s">
        <v>42</v>
      </c>
      <c r="K63" t="str">
        <f t="shared" si="1"/>
        <v>UK</v>
      </c>
      <c r="M63" s="8" t="s">
        <v>42</v>
      </c>
      <c r="N63" t="str">
        <f t="shared" si="2"/>
        <v>JUN</v>
      </c>
    </row>
    <row r="64" spans="1:14" ht="15.75" customHeight="1" x14ac:dyDescent="0.25">
      <c r="C64" s="7" t="s">
        <v>46</v>
      </c>
      <c r="D64" s="7">
        <v>30</v>
      </c>
      <c r="E64" t="str">
        <v>STANDARDPRICE</v>
      </c>
      <c r="G64" s="7" t="s">
        <v>45</v>
      </c>
      <c r="H64" t="str">
        <f t="shared" si="0"/>
        <v>19</v>
      </c>
      <c r="J64" s="7" t="s">
        <v>45</v>
      </c>
      <c r="K64" t="str">
        <f t="shared" si="1"/>
        <v>UK</v>
      </c>
      <c r="M64" s="7" t="s">
        <v>45</v>
      </c>
      <c r="N64" t="str">
        <f t="shared" si="2"/>
        <v>JUL</v>
      </c>
    </row>
    <row r="65" spans="3:14" ht="15.75" customHeight="1" x14ac:dyDescent="0.25">
      <c r="C65" s="8" t="s">
        <v>49</v>
      </c>
      <c r="D65" s="8">
        <v>90</v>
      </c>
      <c r="E65" t="str">
        <v>STANDARDPRICE</v>
      </c>
      <c r="G65" s="8" t="s">
        <v>48</v>
      </c>
      <c r="H65" t="str">
        <f t="shared" si="0"/>
        <v>23</v>
      </c>
      <c r="J65" s="8" t="s">
        <v>48</v>
      </c>
      <c r="K65" t="str">
        <f t="shared" si="1"/>
        <v>UK</v>
      </c>
      <c r="M65" s="8" t="s">
        <v>48</v>
      </c>
      <c r="N65" t="str">
        <f t="shared" si="2"/>
        <v>AUG</v>
      </c>
    </row>
    <row r="66" spans="3:14" ht="15.75" customHeight="1" x14ac:dyDescent="0.25">
      <c r="C66" s="7" t="s">
        <v>52</v>
      </c>
      <c r="D66" s="7">
        <v>500</v>
      </c>
      <c r="E66" t="str">
        <v>HIGH PRICE</v>
      </c>
      <c r="G66" s="7" t="s">
        <v>51</v>
      </c>
      <c r="H66" t="str">
        <f t="shared" si="0"/>
        <v>05</v>
      </c>
      <c r="J66" s="7" t="s">
        <v>51</v>
      </c>
      <c r="K66" t="str">
        <f t="shared" si="1"/>
        <v>UK</v>
      </c>
      <c r="M66" s="7" t="s">
        <v>51</v>
      </c>
      <c r="N66" t="str">
        <f t="shared" si="2"/>
        <v>SEP</v>
      </c>
    </row>
    <row r="67" spans="3:14" ht="15.75" customHeight="1" x14ac:dyDescent="0.25">
      <c r="C67" s="8" t="s">
        <v>55</v>
      </c>
      <c r="D67" s="8">
        <v>130</v>
      </c>
      <c r="E67" t="str">
        <v>STANDARDPRICE</v>
      </c>
      <c r="G67" s="8" t="s">
        <v>54</v>
      </c>
      <c r="H67" t="str">
        <f t="shared" si="0"/>
        <v>14</v>
      </c>
      <c r="J67" s="8" t="s">
        <v>54</v>
      </c>
      <c r="K67" t="str">
        <f t="shared" si="1"/>
        <v>UK</v>
      </c>
      <c r="M67" s="8" t="s">
        <v>54</v>
      </c>
      <c r="N67" t="str">
        <f t="shared" si="2"/>
        <v>OCT</v>
      </c>
    </row>
    <row r="68" spans="3:14" ht="15.75" customHeight="1" x14ac:dyDescent="0.25">
      <c r="C68" s="7" t="s">
        <v>24</v>
      </c>
      <c r="D68" s="7">
        <v>950</v>
      </c>
      <c r="E68" t="str">
        <v>HIGH PRICE</v>
      </c>
      <c r="G68" s="7" t="s">
        <v>57</v>
      </c>
      <c r="H68" t="str">
        <f t="shared" si="0"/>
        <v>17</v>
      </c>
      <c r="J68" s="7" t="s">
        <v>57</v>
      </c>
      <c r="K68" t="str">
        <f t="shared" si="1"/>
        <v>IN</v>
      </c>
      <c r="M68" s="7" t="s">
        <v>57</v>
      </c>
      <c r="N68" t="str">
        <f t="shared" si="2"/>
        <v>JUN</v>
      </c>
    </row>
    <row r="69" spans="3:14" ht="15.75" customHeight="1" x14ac:dyDescent="0.25">
      <c r="C69" s="8" t="s">
        <v>28</v>
      </c>
      <c r="D69" s="8">
        <v>90</v>
      </c>
      <c r="E69" t="str">
        <v>STANDARDPRICE</v>
      </c>
      <c r="G69" s="8" t="s">
        <v>59</v>
      </c>
      <c r="H69" t="str">
        <f t="shared" si="0"/>
        <v>25</v>
      </c>
      <c r="J69" s="8" t="s">
        <v>59</v>
      </c>
      <c r="K69" t="str">
        <f t="shared" si="1"/>
        <v>AU</v>
      </c>
      <c r="M69" s="8" t="s">
        <v>59</v>
      </c>
      <c r="N69" t="str">
        <f t="shared" si="2"/>
        <v>NOV</v>
      </c>
    </row>
    <row r="70" spans="3:14" ht="15.75" customHeight="1" x14ac:dyDescent="0.25">
      <c r="C70" s="7" t="s">
        <v>32</v>
      </c>
      <c r="D70" s="7">
        <v>120</v>
      </c>
      <c r="E70" t="str">
        <v>STANDARDPRICE</v>
      </c>
      <c r="G70" s="7" t="s">
        <v>60</v>
      </c>
      <c r="H70" t="str">
        <f t="shared" si="0"/>
        <v>08</v>
      </c>
      <c r="J70" s="7" t="s">
        <v>60</v>
      </c>
      <c r="K70" t="str">
        <f t="shared" si="1"/>
        <v>DE</v>
      </c>
      <c r="M70" s="7" t="s">
        <v>60</v>
      </c>
      <c r="N70" t="str">
        <f t="shared" si="2"/>
        <v>DEC</v>
      </c>
    </row>
    <row r="71" spans="3:14" ht="15.75" customHeight="1" x14ac:dyDescent="0.25">
      <c r="C71" s="8" t="s">
        <v>63</v>
      </c>
      <c r="D71" s="8">
        <v>150</v>
      </c>
      <c r="E71" t="str">
        <v>STANDARDPRICE</v>
      </c>
      <c r="G71" s="8" t="s">
        <v>62</v>
      </c>
      <c r="H71" t="str">
        <f t="shared" si="0"/>
        <v>18</v>
      </c>
      <c r="J71" s="8" t="s">
        <v>62</v>
      </c>
      <c r="K71" t="str">
        <f t="shared" si="1"/>
        <v>CA</v>
      </c>
      <c r="M71" s="8" t="s">
        <v>62</v>
      </c>
      <c r="N71" t="str">
        <f t="shared" si="2"/>
        <v>FEB</v>
      </c>
    </row>
    <row r="72" spans="3:14" ht="15.75" customHeight="1" x14ac:dyDescent="0.25">
      <c r="C72" s="7" t="s">
        <v>43</v>
      </c>
      <c r="D72" s="7">
        <v>250</v>
      </c>
      <c r="E72" t="str">
        <v>STANDARDPRICE</v>
      </c>
      <c r="G72" s="7" t="s">
        <v>65</v>
      </c>
      <c r="H72" t="str">
        <f t="shared" si="0"/>
        <v>16</v>
      </c>
      <c r="J72" s="7" t="s">
        <v>65</v>
      </c>
      <c r="K72" t="str">
        <f t="shared" si="1"/>
        <v>ES</v>
      </c>
      <c r="M72" s="7" t="s">
        <v>65</v>
      </c>
      <c r="N72" t="str">
        <f t="shared" si="2"/>
        <v>APR</v>
      </c>
    </row>
    <row r="73" spans="3:14" ht="15.75" customHeight="1" x14ac:dyDescent="0.25">
      <c r="C73" s="8" t="s">
        <v>68</v>
      </c>
      <c r="D73" s="8">
        <v>50</v>
      </c>
      <c r="E73" t="str">
        <v>STANDARDPRICE</v>
      </c>
      <c r="G73" s="8" t="s">
        <v>67</v>
      </c>
      <c r="H73" t="str">
        <f t="shared" si="0"/>
        <v>21</v>
      </c>
      <c r="J73" s="8" t="s">
        <v>67</v>
      </c>
      <c r="K73" t="str">
        <f t="shared" si="1"/>
        <v>CA</v>
      </c>
      <c r="M73" s="8" t="s">
        <v>67</v>
      </c>
      <c r="N73" t="str">
        <f t="shared" si="2"/>
        <v>AUG</v>
      </c>
    </row>
    <row r="74" spans="3:14" ht="15.75" customHeight="1" x14ac:dyDescent="0.25">
      <c r="C74" s="7" t="s">
        <v>63</v>
      </c>
      <c r="D74" s="7">
        <v>160</v>
      </c>
      <c r="E74" t="str">
        <v>STANDARDPRICE</v>
      </c>
      <c r="G74" s="7" t="s">
        <v>71</v>
      </c>
      <c r="H74" t="str">
        <f t="shared" si="0"/>
        <v>20</v>
      </c>
      <c r="J74" s="7" t="s">
        <v>71</v>
      </c>
      <c r="K74" t="str">
        <f t="shared" si="1"/>
        <v>CN</v>
      </c>
      <c r="M74" s="7" t="s">
        <v>71</v>
      </c>
      <c r="N74" t="str">
        <f t="shared" si="2"/>
        <v>AUG</v>
      </c>
    </row>
    <row r="75" spans="3:14" ht="15.75" customHeight="1" x14ac:dyDescent="0.25">
      <c r="C75" s="8" t="s">
        <v>24</v>
      </c>
      <c r="D75" s="8">
        <v>980</v>
      </c>
      <c r="E75" t="str">
        <v>HIGH PRICE</v>
      </c>
      <c r="G75" s="8" t="s">
        <v>73</v>
      </c>
      <c r="H75" t="str">
        <f t="shared" si="0"/>
        <v>27</v>
      </c>
      <c r="J75" s="8" t="s">
        <v>73</v>
      </c>
      <c r="K75" t="str">
        <f t="shared" si="1"/>
        <v>IT</v>
      </c>
      <c r="M75" s="8" t="s">
        <v>73</v>
      </c>
      <c r="N75" t="str">
        <f t="shared" si="2"/>
        <v>JAN</v>
      </c>
    </row>
    <row r="76" spans="3:14" ht="15.75" customHeight="1" x14ac:dyDescent="0.25">
      <c r="C76" s="7" t="s">
        <v>76</v>
      </c>
      <c r="D76" s="7">
        <v>150</v>
      </c>
      <c r="E76" t="str">
        <v>STANDARDPRICE</v>
      </c>
      <c r="G76" s="7" t="s">
        <v>75</v>
      </c>
      <c r="H76" t="str">
        <f t="shared" si="0"/>
        <v>01</v>
      </c>
      <c r="J76" s="7" t="s">
        <v>75</v>
      </c>
      <c r="K76" t="str">
        <f t="shared" si="1"/>
        <v>UK</v>
      </c>
      <c r="M76" s="7" t="s">
        <v>75</v>
      </c>
      <c r="N76" t="str">
        <f t="shared" si="2"/>
        <v>MAR</v>
      </c>
    </row>
    <row r="77" spans="3:14" ht="15.75" customHeight="1" x14ac:dyDescent="0.25">
      <c r="C77" s="8" t="s">
        <v>79</v>
      </c>
      <c r="D77" s="8">
        <v>200</v>
      </c>
      <c r="E77" t="str">
        <v>STANDARDPRICE</v>
      </c>
    </row>
    <row r="78" spans="3:14" ht="15.75" customHeight="1" x14ac:dyDescent="0.25">
      <c r="C78" s="7" t="s">
        <v>82</v>
      </c>
      <c r="D78" s="7">
        <v>700</v>
      </c>
      <c r="E78" t="str">
        <v>HIGH PRICE</v>
      </c>
    </row>
    <row r="79" spans="3:14" ht="15.75" customHeight="1" x14ac:dyDescent="0.25">
      <c r="C79" s="8" t="s">
        <v>85</v>
      </c>
      <c r="D79" s="8">
        <v>80</v>
      </c>
      <c r="E79" t="str">
        <v>STANDARDPRICE</v>
      </c>
    </row>
    <row r="80" spans="3:14" ht="15.75" customHeight="1" x14ac:dyDescent="0.25">
      <c r="C80" s="7" t="s">
        <v>88</v>
      </c>
      <c r="D80" s="7">
        <v>150</v>
      </c>
      <c r="E80" t="str">
        <v>STANDARDPRICE</v>
      </c>
    </row>
    <row r="81" spans="3:5" ht="15.75" customHeight="1" x14ac:dyDescent="0.25">
      <c r="C81" s="8" t="s">
        <v>68</v>
      </c>
      <c r="D81" s="8">
        <v>50</v>
      </c>
      <c r="E81" t="str">
        <v>STANDARDPRICE</v>
      </c>
    </row>
    <row r="82" spans="3:5" ht="15.75" customHeight="1" x14ac:dyDescent="0.25">
      <c r="C82" s="7" t="s">
        <v>36</v>
      </c>
      <c r="D82" s="7">
        <v>800</v>
      </c>
      <c r="E82" t="str">
        <v>HIGH PRICE</v>
      </c>
    </row>
    <row r="83" spans="3:5" ht="15.75" customHeight="1" x14ac:dyDescent="0.25">
      <c r="C83" s="8" t="s">
        <v>76</v>
      </c>
      <c r="D83" s="8">
        <v>130</v>
      </c>
      <c r="E83" t="str">
        <v>STANDARDPRICE</v>
      </c>
    </row>
    <row r="84" spans="3:5" ht="15.75" customHeight="1" x14ac:dyDescent="0.25">
      <c r="C84" s="7" t="s">
        <v>49</v>
      </c>
      <c r="D84" s="7">
        <v>400</v>
      </c>
      <c r="E84" t="str">
        <v>STANDARDPRICE</v>
      </c>
    </row>
    <row r="85" spans="3:5" ht="15.75" customHeight="1" x14ac:dyDescent="0.25">
      <c r="C85" s="8" t="s">
        <v>43</v>
      </c>
      <c r="D85" s="8">
        <v>230</v>
      </c>
      <c r="E85" t="str">
        <v>STANDARDPRICE</v>
      </c>
    </row>
    <row r="86" spans="3:5" ht="15.75" customHeight="1" x14ac:dyDescent="0.25">
      <c r="C86" s="7" t="s">
        <v>97</v>
      </c>
      <c r="D86" s="7">
        <v>60</v>
      </c>
      <c r="E86" t="str">
        <v>STANDARDPRICE</v>
      </c>
    </row>
    <row r="87" spans="3:5" ht="15.75" customHeight="1" x14ac:dyDescent="0.25">
      <c r="C87" s="8" t="s">
        <v>100</v>
      </c>
      <c r="D87" s="8">
        <v>40</v>
      </c>
      <c r="E87" t="str">
        <v>STANDARDPRICE</v>
      </c>
    </row>
    <row r="88" spans="3:5" ht="15.75" customHeight="1" x14ac:dyDescent="0.25">
      <c r="C88" s="7" t="s">
        <v>88</v>
      </c>
      <c r="D88" s="7">
        <v>130</v>
      </c>
      <c r="E88" t="str">
        <v>STANDARDPRICE</v>
      </c>
    </row>
    <row r="89" spans="3:5" ht="15.75" customHeight="1" x14ac:dyDescent="0.25">
      <c r="C89" s="8" t="s">
        <v>105</v>
      </c>
      <c r="D89" s="8">
        <v>50</v>
      </c>
      <c r="E89" t="str">
        <v>STANDARDPRICE</v>
      </c>
    </row>
    <row r="90" spans="3:5" ht="15.75" customHeight="1" x14ac:dyDescent="0.25">
      <c r="C90" s="7" t="s">
        <v>24</v>
      </c>
      <c r="D90" s="7">
        <v>950</v>
      </c>
      <c r="E90" t="str">
        <v>HIGH PRICE</v>
      </c>
    </row>
    <row r="91" spans="3:5" ht="15.75" customHeight="1" x14ac:dyDescent="0.25">
      <c r="C91" s="8" t="s">
        <v>108</v>
      </c>
      <c r="D91" s="8">
        <v>100</v>
      </c>
      <c r="E91" t="str">
        <v>STANDARDPRICE</v>
      </c>
    </row>
    <row r="92" spans="3:5" ht="15.75" customHeight="1" x14ac:dyDescent="0.25"/>
    <row r="93" spans="3:5" ht="15.75" customHeight="1" x14ac:dyDescent="0.25"/>
    <row r="94" spans="3:5" ht="15.75" customHeight="1" x14ac:dyDescent="0.25"/>
    <row r="95" spans="3:5" ht="15.75" customHeight="1" x14ac:dyDescent="0.25"/>
    <row r="96" spans="3:5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Meenu Sajeevan</dc:creator>
  <cp:lastModifiedBy>vishnu meenu</cp:lastModifiedBy>
  <cp:lastPrinted>2026-10-17T07:57:43Z</cp:lastPrinted>
  <dcterms:created xsi:type="dcterms:W3CDTF">2026-10-16T19:51:48Z</dcterms:created>
  <dcterms:modified xsi:type="dcterms:W3CDTF">2026-10-17T07:59:01Z</dcterms:modified>
</cp:coreProperties>
</file>